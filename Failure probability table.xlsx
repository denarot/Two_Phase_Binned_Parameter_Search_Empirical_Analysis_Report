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ddd\Documents\"/>
    </mc:Choice>
  </mc:AlternateContent>
  <xr:revisionPtr revIDLastSave="0" documentId="13_ncr:1_{8FC1B163-0623-42EF-BE76-3AD3C9FD510F}" xr6:coauthVersionLast="47" xr6:coauthVersionMax="47" xr10:uidLastSave="{00000000-0000-0000-0000-000000000000}"/>
  <bookViews>
    <workbookView xWindow="0" yWindow="0" windowWidth="14400" windowHeight="15600" xr2:uid="{50CA158D-ADD0-4E2B-84A5-3F2828295E98}"/>
  </bookViews>
  <sheets>
    <sheet name="Probability of Failure" sheetId="1" r:id="rId1"/>
    <sheet name="Party lvl 1-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" l="1"/>
  <c r="F21" i="2"/>
  <c r="E21" i="2"/>
  <c r="D21" i="2"/>
  <c r="H21" i="2" s="1"/>
  <c r="C21" i="2"/>
  <c r="G20" i="2"/>
  <c r="F20" i="2"/>
  <c r="E20" i="2"/>
  <c r="D20" i="2"/>
  <c r="H20" i="2" s="1"/>
  <c r="C20" i="2"/>
  <c r="G19" i="2"/>
  <c r="F19" i="2"/>
  <c r="E19" i="2"/>
  <c r="D19" i="2"/>
  <c r="H19" i="2" s="1"/>
  <c r="C19" i="2"/>
  <c r="G18" i="2"/>
  <c r="F18" i="2"/>
  <c r="E18" i="2"/>
  <c r="D18" i="2"/>
  <c r="H18" i="2" s="1"/>
  <c r="C18" i="2"/>
  <c r="G17" i="2"/>
  <c r="F17" i="2"/>
  <c r="E17" i="2"/>
  <c r="D17" i="2"/>
  <c r="H17" i="2" s="1"/>
  <c r="C17" i="2"/>
  <c r="G16" i="2"/>
  <c r="F16" i="2"/>
  <c r="E16" i="2"/>
  <c r="D16" i="2"/>
  <c r="H16" i="2" s="1"/>
  <c r="C16" i="2"/>
  <c r="G15" i="2"/>
  <c r="F15" i="2"/>
  <c r="E15" i="2"/>
  <c r="D15" i="2"/>
  <c r="H15" i="2" s="1"/>
  <c r="C15" i="2"/>
  <c r="G14" i="2"/>
  <c r="F14" i="2"/>
  <c r="E14" i="2"/>
  <c r="D14" i="2"/>
  <c r="H14" i="2" s="1"/>
  <c r="C14" i="2"/>
  <c r="G13" i="2"/>
  <c r="F13" i="2"/>
  <c r="E13" i="2"/>
  <c r="D13" i="2"/>
  <c r="H13" i="2" s="1"/>
  <c r="C13" i="2"/>
  <c r="G12" i="2"/>
  <c r="F12" i="2"/>
  <c r="E12" i="2"/>
  <c r="D12" i="2"/>
  <c r="H12" i="2" s="1"/>
  <c r="C12" i="2"/>
  <c r="G11" i="2"/>
  <c r="F11" i="2"/>
  <c r="E11" i="2"/>
  <c r="D11" i="2"/>
  <c r="H11" i="2" s="1"/>
  <c r="C11" i="2"/>
  <c r="G10" i="2"/>
  <c r="F10" i="2"/>
  <c r="E10" i="2"/>
  <c r="D10" i="2"/>
  <c r="H10" i="2" s="1"/>
  <c r="C10" i="2"/>
  <c r="G9" i="2"/>
  <c r="F9" i="2"/>
  <c r="E9" i="2"/>
  <c r="D9" i="2"/>
  <c r="H9" i="2" s="1"/>
  <c r="C9" i="2"/>
  <c r="G8" i="2"/>
  <c r="F8" i="2"/>
  <c r="E8" i="2"/>
  <c r="D8" i="2"/>
  <c r="H8" i="2" s="1"/>
  <c r="C8" i="2"/>
  <c r="G7" i="2"/>
  <c r="F7" i="2"/>
  <c r="E7" i="2"/>
  <c r="D7" i="2"/>
  <c r="H7" i="2" s="1"/>
  <c r="C7" i="2"/>
  <c r="G6" i="2"/>
  <c r="F6" i="2"/>
  <c r="E6" i="2"/>
  <c r="D6" i="2"/>
  <c r="H6" i="2" s="1"/>
  <c r="C6" i="2"/>
  <c r="G5" i="2"/>
  <c r="F5" i="2"/>
  <c r="E5" i="2"/>
  <c r="D5" i="2"/>
  <c r="H5" i="2" s="1"/>
  <c r="C5" i="2"/>
  <c r="G4" i="2"/>
  <c r="F4" i="2"/>
  <c r="E4" i="2"/>
  <c r="D4" i="2"/>
  <c r="H4" i="2" s="1"/>
  <c r="C4" i="2"/>
  <c r="G3" i="2"/>
  <c r="F3" i="2"/>
  <c r="E3" i="2"/>
  <c r="D3" i="2"/>
  <c r="H3" i="2" s="1"/>
  <c r="C3" i="2"/>
  <c r="G2" i="2"/>
  <c r="F2" i="2"/>
  <c r="E2" i="2"/>
  <c r="D2" i="2"/>
  <c r="H2" i="2" s="1"/>
  <c r="C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</calcChain>
</file>

<file path=xl/sharedStrings.xml><?xml version="1.0" encoding="utf-8"?>
<sst xmlns="http://schemas.openxmlformats.org/spreadsheetml/2006/main" count="17" uniqueCount="10">
  <si>
    <t>DC</t>
  </si>
  <si>
    <t>Exactly 1</t>
  </si>
  <si>
    <t>Exactly 2</t>
  </si>
  <si>
    <t>Exactly 3</t>
  </si>
  <si>
    <t>Exactly 4</t>
  </si>
  <si>
    <t>At LEAST 2</t>
  </si>
  <si>
    <t>% Chance of Failure</t>
  </si>
  <si>
    <t>At LEAST 1</t>
  </si>
  <si>
    <t>The above chart shows the probability of experiencing an exact number of failures and at least 1-2 failures given 4 occurences. Though the individual probability of a single occurrence could be quite low, given multiple opportunities for failure the probability changes.</t>
  </si>
  <si>
    <t>DC +3 modifier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</si>
</sst>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onsolas"/>
      <family val="3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9" fontId="3" fillId="4" borderId="1" xfId="1" applyNumberFormat="1" applyFont="1" applyFill="1" applyBorder="1" applyAlignment="1">
      <alignment horizontal="right" vertical="center" indent="1"/>
    </xf>
    <xf numFmtId="9" fontId="3" fillId="5" borderId="1" xfId="1" applyNumberFormat="1" applyFont="1" applyFill="1" applyBorder="1" applyAlignment="1">
      <alignment horizontal="right" vertical="center" indent="1"/>
    </xf>
    <xf numFmtId="9" fontId="3" fillId="3" borderId="1" xfId="1" applyNumberFormat="1" applyFont="1" applyFill="1" applyBorder="1" applyAlignment="1">
      <alignment horizontal="right" vertical="center" indent="1"/>
    </xf>
    <xf numFmtId="9" fontId="3" fillId="2" borderId="1" xfId="1" applyNumberFormat="1" applyFont="1" applyFill="1" applyBorder="1" applyAlignment="1">
      <alignment horizontal="right" vertical="center" indent="1"/>
    </xf>
    <xf numFmtId="0" fontId="3" fillId="4" borderId="5" xfId="0" applyFont="1" applyFill="1" applyBorder="1"/>
    <xf numFmtId="9" fontId="3" fillId="4" borderId="6" xfId="1" applyFont="1" applyFill="1" applyBorder="1"/>
    <xf numFmtId="0" fontId="3" fillId="5" borderId="5" xfId="0" applyFont="1" applyFill="1" applyBorder="1"/>
    <xf numFmtId="9" fontId="3" fillId="5" borderId="6" xfId="1" applyFont="1" applyFill="1" applyBorder="1"/>
    <xf numFmtId="0" fontId="3" fillId="3" borderId="5" xfId="0" applyFont="1" applyFill="1" applyBorder="1"/>
    <xf numFmtId="9" fontId="3" fillId="3" borderId="6" xfId="1" applyFont="1" applyFill="1" applyBorder="1"/>
    <xf numFmtId="0" fontId="3" fillId="2" borderId="5" xfId="0" applyFont="1" applyFill="1" applyBorder="1"/>
    <xf numFmtId="9" fontId="3" fillId="2" borderId="6" xfId="1" applyFont="1" applyFill="1" applyBorder="1"/>
    <xf numFmtId="0" fontId="3" fillId="2" borderId="7" xfId="0" applyFont="1" applyFill="1" applyBorder="1"/>
    <xf numFmtId="9" fontId="3" fillId="2" borderId="8" xfId="1" applyFont="1" applyFill="1" applyBorder="1"/>
    <xf numFmtId="9" fontId="3" fillId="4" borderId="5" xfId="1" applyNumberFormat="1" applyFont="1" applyFill="1" applyBorder="1" applyAlignment="1">
      <alignment horizontal="right" vertical="center" indent="1"/>
    </xf>
    <xf numFmtId="9" fontId="3" fillId="4" borderId="6" xfId="1" applyNumberFormat="1" applyFont="1" applyFill="1" applyBorder="1" applyAlignment="1">
      <alignment horizontal="right" vertical="center" indent="1"/>
    </xf>
    <xf numFmtId="9" fontId="3" fillId="5" borderId="5" xfId="1" applyNumberFormat="1" applyFont="1" applyFill="1" applyBorder="1" applyAlignment="1">
      <alignment horizontal="right" vertical="center" indent="1"/>
    </xf>
    <xf numFmtId="9" fontId="3" fillId="5" borderId="6" xfId="1" applyNumberFormat="1" applyFont="1" applyFill="1" applyBorder="1" applyAlignment="1">
      <alignment horizontal="right" vertical="center" indent="1"/>
    </xf>
    <xf numFmtId="9" fontId="3" fillId="3" borderId="5" xfId="1" applyNumberFormat="1" applyFont="1" applyFill="1" applyBorder="1" applyAlignment="1">
      <alignment horizontal="right" vertical="center" indent="1"/>
    </xf>
    <xf numFmtId="9" fontId="3" fillId="3" borderId="6" xfId="1" applyNumberFormat="1" applyFont="1" applyFill="1" applyBorder="1" applyAlignment="1">
      <alignment horizontal="right" vertical="center" indent="1"/>
    </xf>
    <xf numFmtId="9" fontId="3" fillId="2" borderId="5" xfId="1" applyNumberFormat="1" applyFont="1" applyFill="1" applyBorder="1" applyAlignment="1">
      <alignment horizontal="right" vertical="center" indent="1"/>
    </xf>
    <xf numFmtId="9" fontId="3" fillId="2" borderId="6" xfId="1" applyNumberFormat="1" applyFont="1" applyFill="1" applyBorder="1" applyAlignment="1">
      <alignment horizontal="right" vertical="center" indent="1"/>
    </xf>
    <xf numFmtId="9" fontId="3" fillId="2" borderId="7" xfId="1" applyNumberFormat="1" applyFont="1" applyFill="1" applyBorder="1" applyAlignment="1">
      <alignment horizontal="right" vertical="center" indent="1"/>
    </xf>
    <xf numFmtId="9" fontId="3" fillId="2" borderId="10" xfId="1" applyNumberFormat="1" applyFont="1" applyFill="1" applyBorder="1" applyAlignment="1">
      <alignment horizontal="right" vertical="center" indent="1"/>
    </xf>
    <xf numFmtId="9" fontId="3" fillId="2" borderId="8" xfId="1" applyNumberFormat="1" applyFont="1" applyFill="1" applyBorder="1" applyAlignment="1">
      <alignment horizontal="right" vertical="center" indent="1"/>
    </xf>
    <xf numFmtId="0" fontId="3" fillId="4" borderId="11" xfId="0" applyFont="1" applyFill="1" applyBorder="1"/>
    <xf numFmtId="9" fontId="3" fillId="4" borderId="12" xfId="1" applyFont="1" applyFill="1" applyBorder="1"/>
    <xf numFmtId="9" fontId="3" fillId="4" borderId="11" xfId="1" applyNumberFormat="1" applyFont="1" applyFill="1" applyBorder="1" applyAlignment="1">
      <alignment horizontal="right" vertical="center" indent="1"/>
    </xf>
    <xf numFmtId="9" fontId="3" fillId="4" borderId="13" xfId="1" applyNumberFormat="1" applyFont="1" applyFill="1" applyBorder="1" applyAlignment="1">
      <alignment horizontal="right" vertical="center" indent="1"/>
    </xf>
    <xf numFmtId="9" fontId="3" fillId="4" borderId="12" xfId="1" applyNumberFormat="1" applyFont="1" applyFill="1" applyBorder="1" applyAlignment="1">
      <alignment horizontal="right" vertical="center" indent="1"/>
    </xf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2" xfId="0" applyFont="1" applyBorder="1"/>
    <xf numFmtId="9" fontId="3" fillId="4" borderId="17" xfId="1" applyNumberFormat="1" applyFont="1" applyFill="1" applyBorder="1" applyAlignment="1">
      <alignment horizontal="right" vertical="center" indent="1"/>
    </xf>
    <xf numFmtId="9" fontId="3" fillId="4" borderId="18" xfId="1" applyNumberFormat="1" applyFont="1" applyFill="1" applyBorder="1" applyAlignment="1">
      <alignment horizontal="right" vertical="center" indent="1"/>
    </xf>
    <xf numFmtId="9" fontId="3" fillId="5" borderId="18" xfId="1" applyNumberFormat="1" applyFont="1" applyFill="1" applyBorder="1" applyAlignment="1">
      <alignment horizontal="right" vertical="center" indent="1"/>
    </xf>
    <xf numFmtId="9" fontId="3" fillId="3" borderId="18" xfId="1" applyNumberFormat="1" applyFont="1" applyFill="1" applyBorder="1" applyAlignment="1">
      <alignment horizontal="right" vertical="center" indent="1"/>
    </xf>
    <xf numFmtId="9" fontId="3" fillId="2" borderId="18" xfId="1" applyNumberFormat="1" applyFont="1" applyFill="1" applyBorder="1" applyAlignment="1">
      <alignment horizontal="right" vertical="center" indent="1"/>
    </xf>
    <xf numFmtId="9" fontId="3" fillId="2" borderId="19" xfId="1" applyNumberFormat="1" applyFont="1" applyFill="1" applyBorder="1" applyAlignment="1">
      <alignment horizontal="right" vertical="center" indent="1"/>
    </xf>
    <xf numFmtId="9" fontId="3" fillId="4" borderId="17" xfId="1" applyNumberFormat="1" applyFont="1" applyFill="1" applyBorder="1" applyAlignment="1">
      <alignment horizontal="right"/>
    </xf>
    <xf numFmtId="9" fontId="3" fillId="4" borderId="18" xfId="1" applyNumberFormat="1" applyFont="1" applyFill="1" applyBorder="1" applyAlignment="1">
      <alignment horizontal="right"/>
    </xf>
    <xf numFmtId="9" fontId="3" fillId="5" borderId="18" xfId="1" applyNumberFormat="1" applyFont="1" applyFill="1" applyBorder="1" applyAlignment="1">
      <alignment horizontal="right"/>
    </xf>
    <xf numFmtId="9" fontId="3" fillId="3" borderId="18" xfId="1" applyNumberFormat="1" applyFont="1" applyFill="1" applyBorder="1" applyAlignment="1">
      <alignment horizontal="right"/>
    </xf>
    <xf numFmtId="9" fontId="3" fillId="2" borderId="18" xfId="1" applyNumberFormat="1" applyFont="1" applyFill="1" applyBorder="1" applyAlignment="1">
      <alignment horizontal="right"/>
    </xf>
    <xf numFmtId="9" fontId="3" fillId="2" borderId="19" xfId="1" applyNumberFormat="1" applyFont="1" applyFill="1" applyBorder="1" applyAlignment="1">
      <alignment horizontal="right"/>
    </xf>
    <xf numFmtId="0" fontId="3" fillId="4" borderId="20" xfId="0" applyFont="1" applyFill="1" applyBorder="1"/>
    <xf numFmtId="9" fontId="3" fillId="4" borderId="21" xfId="1" applyFont="1" applyFill="1" applyBorder="1"/>
    <xf numFmtId="9" fontId="3" fillId="4" borderId="20" xfId="1" applyNumberFormat="1" applyFont="1" applyFill="1" applyBorder="1" applyAlignment="1">
      <alignment horizontal="right" vertical="center" indent="1"/>
    </xf>
    <xf numFmtId="9" fontId="3" fillId="4" borderId="22" xfId="1" applyNumberFormat="1" applyFont="1" applyFill="1" applyBorder="1" applyAlignment="1">
      <alignment horizontal="right" vertical="center" indent="1"/>
    </xf>
    <xf numFmtId="9" fontId="3" fillId="4" borderId="21" xfId="1" applyNumberFormat="1" applyFont="1" applyFill="1" applyBorder="1" applyAlignment="1">
      <alignment horizontal="right" vertical="center" indent="1"/>
    </xf>
    <xf numFmtId="9" fontId="3" fillId="4" borderId="23" xfId="1" applyNumberFormat="1" applyFont="1" applyFill="1" applyBorder="1" applyAlignment="1">
      <alignment horizontal="right" vertical="center" indent="1"/>
    </xf>
    <xf numFmtId="9" fontId="3" fillId="4" borderId="23" xfId="1" applyNumberFormat="1" applyFont="1" applyFill="1" applyBorder="1" applyAlignment="1">
      <alignment horizontal="right"/>
    </xf>
    <xf numFmtId="0" fontId="3" fillId="3" borderId="11" xfId="0" applyFont="1" applyFill="1" applyBorder="1"/>
    <xf numFmtId="9" fontId="3" fillId="3" borderId="12" xfId="1" applyFont="1" applyFill="1" applyBorder="1"/>
    <xf numFmtId="9" fontId="3" fillId="3" borderId="11" xfId="1" applyNumberFormat="1" applyFont="1" applyFill="1" applyBorder="1" applyAlignment="1">
      <alignment horizontal="right" vertical="center" indent="1"/>
    </xf>
    <xf numFmtId="9" fontId="3" fillId="3" borderId="13" xfId="1" applyNumberFormat="1" applyFont="1" applyFill="1" applyBorder="1" applyAlignment="1">
      <alignment horizontal="right" vertical="center" indent="1"/>
    </xf>
    <xf numFmtId="9" fontId="3" fillId="3" borderId="12" xfId="1" applyNumberFormat="1" applyFont="1" applyFill="1" applyBorder="1" applyAlignment="1">
      <alignment horizontal="right" vertical="center" indent="1"/>
    </xf>
    <xf numFmtId="9" fontId="3" fillId="3" borderId="17" xfId="1" applyNumberFormat="1" applyFont="1" applyFill="1" applyBorder="1" applyAlignment="1">
      <alignment horizontal="right" vertical="center" indent="1"/>
    </xf>
    <xf numFmtId="9" fontId="3" fillId="3" borderId="17" xfId="1" applyNumberFormat="1" applyFont="1" applyFill="1" applyBorder="1" applyAlignment="1">
      <alignment horizontal="right"/>
    </xf>
    <xf numFmtId="0" fontId="3" fillId="5" borderId="3" xfId="0" applyFont="1" applyFill="1" applyBorder="1"/>
    <xf numFmtId="9" fontId="3" fillId="5" borderId="4" xfId="1" applyFont="1" applyFill="1" applyBorder="1"/>
    <xf numFmtId="9" fontId="3" fillId="5" borderId="3" xfId="1" applyNumberFormat="1" applyFont="1" applyFill="1" applyBorder="1" applyAlignment="1">
      <alignment horizontal="right" vertical="center" indent="1"/>
    </xf>
    <xf numFmtId="9" fontId="3" fillId="5" borderId="9" xfId="1" applyNumberFormat="1" applyFont="1" applyFill="1" applyBorder="1" applyAlignment="1">
      <alignment horizontal="right" vertical="center" indent="1"/>
    </xf>
    <xf numFmtId="9" fontId="3" fillId="5" borderId="4" xfId="1" applyNumberFormat="1" applyFont="1" applyFill="1" applyBorder="1" applyAlignment="1">
      <alignment horizontal="right" vertical="center" indent="1"/>
    </xf>
    <xf numFmtId="9" fontId="3" fillId="5" borderId="24" xfId="1" applyNumberFormat="1" applyFont="1" applyFill="1" applyBorder="1" applyAlignment="1">
      <alignment horizontal="right" vertical="center" indent="1"/>
    </xf>
    <xf numFmtId="9" fontId="3" fillId="5" borderId="24" xfId="1" applyNumberFormat="1" applyFont="1" applyFill="1" applyBorder="1" applyAlignment="1">
      <alignment horizontal="right"/>
    </xf>
    <xf numFmtId="0" fontId="3" fillId="5" borderId="7" xfId="0" applyFont="1" applyFill="1" applyBorder="1"/>
    <xf numFmtId="9" fontId="3" fillId="5" borderId="8" xfId="1" applyFont="1" applyFill="1" applyBorder="1"/>
    <xf numFmtId="9" fontId="3" fillId="5" borderId="7" xfId="1" applyNumberFormat="1" applyFont="1" applyFill="1" applyBorder="1" applyAlignment="1">
      <alignment horizontal="right" vertical="center" indent="1"/>
    </xf>
    <xf numFmtId="9" fontId="3" fillId="5" borderId="10" xfId="1" applyNumberFormat="1" applyFont="1" applyFill="1" applyBorder="1" applyAlignment="1">
      <alignment horizontal="right" vertical="center" indent="1"/>
    </xf>
    <xf numFmtId="9" fontId="3" fillId="5" borderId="8" xfId="1" applyNumberFormat="1" applyFont="1" applyFill="1" applyBorder="1" applyAlignment="1">
      <alignment horizontal="right" vertical="center" indent="1"/>
    </xf>
    <xf numFmtId="9" fontId="3" fillId="5" borderId="19" xfId="1" applyNumberFormat="1" applyFont="1" applyFill="1" applyBorder="1" applyAlignment="1">
      <alignment horizontal="right" vertical="center" indent="1"/>
    </xf>
    <xf numFmtId="9" fontId="3" fillId="5" borderId="19" xfId="1" applyNumberFormat="1" applyFont="1" applyFill="1" applyBorder="1" applyAlignment="1">
      <alignment horizontal="right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4" fillId="0" borderId="16" xfId="0" applyFont="1" applyBorder="1" applyAlignment="1">
      <alignment wrapText="1"/>
    </xf>
    <xf numFmtId="0" fontId="4" fillId="0" borderId="2" xfId="0" applyFont="1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22CC-F705-487C-93CD-CE34F17DA5B7}">
  <dimension ref="A1:H23"/>
  <sheetViews>
    <sheetView tabSelected="1" workbookViewId="0">
      <selection activeCell="A23" sqref="A23"/>
    </sheetView>
  </sheetViews>
  <sheetFormatPr defaultRowHeight="15" x14ac:dyDescent="0.25"/>
  <cols>
    <col min="1" max="8" width="11.7109375" style="1" customWidth="1"/>
    <col min="9" max="16384" width="9.140625" style="1"/>
  </cols>
  <sheetData>
    <row r="1" spans="1:8" ht="30.75" thickBot="1" x14ac:dyDescent="0.3">
      <c r="A1" s="76" t="s">
        <v>0</v>
      </c>
      <c r="B1" s="77" t="s">
        <v>6</v>
      </c>
      <c r="C1" s="76" t="s">
        <v>1</v>
      </c>
      <c r="D1" s="78" t="s">
        <v>2</v>
      </c>
      <c r="E1" s="78" t="s">
        <v>3</v>
      </c>
      <c r="F1" s="77" t="s">
        <v>4</v>
      </c>
      <c r="G1" s="79" t="s">
        <v>7</v>
      </c>
      <c r="H1" s="79" t="s">
        <v>5</v>
      </c>
    </row>
    <row r="2" spans="1:8" x14ac:dyDescent="0.25">
      <c r="A2" s="27">
        <v>1</v>
      </c>
      <c r="B2" s="28">
        <v>0</v>
      </c>
      <c r="C2" s="29">
        <f>COMBIN(4,1)*B2^1*(1-B2)^3</f>
        <v>0</v>
      </c>
      <c r="D2" s="30">
        <f>COMBIN(4,2)*B2^2*(1-B2)^2</f>
        <v>0</v>
      </c>
      <c r="E2" s="30">
        <f>COMBIN(4,3)*B2^3*(1-B2)^1</f>
        <v>0</v>
      </c>
      <c r="F2" s="31">
        <f>COMBIN(4,4)*B2^4*(1-B2)^0</f>
        <v>0</v>
      </c>
      <c r="G2" s="36">
        <f>1-(1-B2)^4</f>
        <v>0</v>
      </c>
      <c r="H2" s="42">
        <f>SUM(D2:F2)</f>
        <v>0</v>
      </c>
    </row>
    <row r="3" spans="1:8" x14ac:dyDescent="0.25">
      <c r="A3" s="6">
        <v>2</v>
      </c>
      <c r="B3" s="7">
        <v>0.05</v>
      </c>
      <c r="C3" s="16">
        <f t="shared" ref="C3:C21" si="0">COMBIN(4,1)*B3^1*(1-B3)^3</f>
        <v>0.17147499999999999</v>
      </c>
      <c r="D3" s="2">
        <f t="shared" ref="D3:D21" si="1">COMBIN(4,2)*B3^2*(1-B3)^2</f>
        <v>1.3537500000000003E-2</v>
      </c>
      <c r="E3" s="2">
        <f t="shared" ref="E3:E21" si="2">COMBIN(4,3)*B3^3*(1-B3)^1</f>
        <v>4.7500000000000011E-4</v>
      </c>
      <c r="F3" s="17">
        <f t="shared" ref="F3:F21" si="3">COMBIN(4,4)*B3^4*(1-B3)^0</f>
        <v>6.2500000000000028E-6</v>
      </c>
      <c r="G3" s="37">
        <f t="shared" ref="G3:G21" si="4">1-(1-B3)^4</f>
        <v>0.18549375000000001</v>
      </c>
      <c r="H3" s="43">
        <f t="shared" ref="H3:H21" si="5">SUM(D3:F3)</f>
        <v>1.4018750000000002E-2</v>
      </c>
    </row>
    <row r="4" spans="1:8" x14ac:dyDescent="0.25">
      <c r="A4" s="6">
        <v>3</v>
      </c>
      <c r="B4" s="7">
        <v>0.1</v>
      </c>
      <c r="C4" s="16">
        <f t="shared" si="0"/>
        <v>0.29160000000000003</v>
      </c>
      <c r="D4" s="2">
        <f t="shared" si="1"/>
        <v>4.8600000000000011E-2</v>
      </c>
      <c r="E4" s="2">
        <f t="shared" si="2"/>
        <v>3.6000000000000008E-3</v>
      </c>
      <c r="F4" s="17">
        <f t="shared" si="3"/>
        <v>1.0000000000000005E-4</v>
      </c>
      <c r="G4" s="37">
        <f t="shared" si="4"/>
        <v>0.34389999999999987</v>
      </c>
      <c r="H4" s="43">
        <f t="shared" si="5"/>
        <v>5.2300000000000013E-2</v>
      </c>
    </row>
    <row r="5" spans="1:8" ht="15.75" thickBot="1" x14ac:dyDescent="0.3">
      <c r="A5" s="48">
        <v>4</v>
      </c>
      <c r="B5" s="49">
        <v>0.15</v>
      </c>
      <c r="C5" s="50">
        <f t="shared" si="0"/>
        <v>0.36847499999999994</v>
      </c>
      <c r="D5" s="51">
        <f t="shared" si="1"/>
        <v>9.7537499999999999E-2</v>
      </c>
      <c r="E5" s="51">
        <f t="shared" si="2"/>
        <v>1.1474999999999999E-2</v>
      </c>
      <c r="F5" s="52">
        <f t="shared" si="3"/>
        <v>5.0624999999999997E-4</v>
      </c>
      <c r="G5" s="53">
        <f t="shared" si="4"/>
        <v>0.47799375000000011</v>
      </c>
      <c r="H5" s="54">
        <f t="shared" si="5"/>
        <v>0.10951875</v>
      </c>
    </row>
    <row r="6" spans="1:8" x14ac:dyDescent="0.25">
      <c r="A6" s="62">
        <v>5</v>
      </c>
      <c r="B6" s="63">
        <v>0.2</v>
      </c>
      <c r="C6" s="64">
        <f t="shared" si="0"/>
        <v>0.40960000000000013</v>
      </c>
      <c r="D6" s="65">
        <f t="shared" si="1"/>
        <v>0.15360000000000007</v>
      </c>
      <c r="E6" s="65">
        <f t="shared" si="2"/>
        <v>2.5600000000000008E-2</v>
      </c>
      <c r="F6" s="66">
        <f t="shared" si="3"/>
        <v>1.6000000000000007E-3</v>
      </c>
      <c r="G6" s="67">
        <f t="shared" si="4"/>
        <v>0.59039999999999981</v>
      </c>
      <c r="H6" s="68">
        <f t="shared" si="5"/>
        <v>0.18080000000000007</v>
      </c>
    </row>
    <row r="7" spans="1:8" x14ac:dyDescent="0.25">
      <c r="A7" s="8">
        <v>6</v>
      </c>
      <c r="B7" s="9">
        <v>0.25</v>
      </c>
      <c r="C7" s="18">
        <f t="shared" si="0"/>
        <v>0.421875</v>
      </c>
      <c r="D7" s="3">
        <f t="shared" si="1"/>
        <v>0.2109375</v>
      </c>
      <c r="E7" s="3">
        <f t="shared" si="2"/>
        <v>4.6875E-2</v>
      </c>
      <c r="F7" s="19">
        <f t="shared" si="3"/>
        <v>3.90625E-3</v>
      </c>
      <c r="G7" s="38">
        <f t="shared" si="4"/>
        <v>0.68359375</v>
      </c>
      <c r="H7" s="44">
        <f t="shared" si="5"/>
        <v>0.26171875</v>
      </c>
    </row>
    <row r="8" spans="1:8" x14ac:dyDescent="0.25">
      <c r="A8" s="8">
        <v>7</v>
      </c>
      <c r="B8" s="9">
        <v>0.3</v>
      </c>
      <c r="C8" s="18">
        <f t="shared" si="0"/>
        <v>0.41159999999999991</v>
      </c>
      <c r="D8" s="3">
        <f t="shared" si="1"/>
        <v>0.2646</v>
      </c>
      <c r="E8" s="3">
        <f t="shared" si="2"/>
        <v>7.5600000000000001E-2</v>
      </c>
      <c r="F8" s="19">
        <f t="shared" si="3"/>
        <v>8.0999999999999996E-3</v>
      </c>
      <c r="G8" s="38">
        <f t="shared" si="4"/>
        <v>0.75990000000000002</v>
      </c>
      <c r="H8" s="44">
        <f t="shared" si="5"/>
        <v>0.3483</v>
      </c>
    </row>
    <row r="9" spans="1:8" x14ac:dyDescent="0.25">
      <c r="A9" s="8">
        <v>8</v>
      </c>
      <c r="B9" s="9">
        <v>0.35</v>
      </c>
      <c r="C9" s="18">
        <f t="shared" si="0"/>
        <v>0.38447500000000007</v>
      </c>
      <c r="D9" s="3">
        <f t="shared" si="1"/>
        <v>0.31053749999999997</v>
      </c>
      <c r="E9" s="3">
        <f t="shared" si="2"/>
        <v>0.11147499999999998</v>
      </c>
      <c r="F9" s="19">
        <f t="shared" si="3"/>
        <v>1.5006249999999995E-2</v>
      </c>
      <c r="G9" s="38">
        <f t="shared" si="4"/>
        <v>0.82149374999999991</v>
      </c>
      <c r="H9" s="44">
        <f t="shared" si="5"/>
        <v>0.43701874999999996</v>
      </c>
    </row>
    <row r="10" spans="1:8" ht="15.75" thickBot="1" x14ac:dyDescent="0.3">
      <c r="A10" s="69">
        <v>9</v>
      </c>
      <c r="B10" s="70">
        <v>0.4</v>
      </c>
      <c r="C10" s="71">
        <f t="shared" si="0"/>
        <v>0.34560000000000002</v>
      </c>
      <c r="D10" s="72">
        <f t="shared" si="1"/>
        <v>0.34560000000000007</v>
      </c>
      <c r="E10" s="72">
        <f t="shared" si="2"/>
        <v>0.15360000000000004</v>
      </c>
      <c r="F10" s="73">
        <f t="shared" si="3"/>
        <v>2.5600000000000012E-2</v>
      </c>
      <c r="G10" s="74">
        <f t="shared" si="4"/>
        <v>0.87040000000000006</v>
      </c>
      <c r="H10" s="75">
        <f t="shared" si="5"/>
        <v>0.52480000000000016</v>
      </c>
    </row>
    <row r="11" spans="1:8" x14ac:dyDescent="0.25">
      <c r="A11" s="55">
        <v>10</v>
      </c>
      <c r="B11" s="56">
        <v>0.45</v>
      </c>
      <c r="C11" s="57">
        <f t="shared" si="0"/>
        <v>0.2994750000000001</v>
      </c>
      <c r="D11" s="58">
        <f t="shared" si="1"/>
        <v>0.36753750000000007</v>
      </c>
      <c r="E11" s="58">
        <f t="shared" si="2"/>
        <v>0.20047500000000004</v>
      </c>
      <c r="F11" s="59">
        <f t="shared" si="3"/>
        <v>4.1006250000000008E-2</v>
      </c>
      <c r="G11" s="60">
        <f t="shared" si="4"/>
        <v>0.90849374999999999</v>
      </c>
      <c r="H11" s="61">
        <f t="shared" si="5"/>
        <v>0.60901875000000016</v>
      </c>
    </row>
    <row r="12" spans="1:8" x14ac:dyDescent="0.25">
      <c r="A12" s="10">
        <v>11</v>
      </c>
      <c r="B12" s="11">
        <v>0.5</v>
      </c>
      <c r="C12" s="20">
        <f t="shared" si="0"/>
        <v>0.25</v>
      </c>
      <c r="D12" s="4">
        <f t="shared" si="1"/>
        <v>0.375</v>
      </c>
      <c r="E12" s="4">
        <f t="shared" si="2"/>
        <v>0.25</v>
      </c>
      <c r="F12" s="21">
        <f t="shared" si="3"/>
        <v>6.25E-2</v>
      </c>
      <c r="G12" s="39">
        <f t="shared" si="4"/>
        <v>0.9375</v>
      </c>
      <c r="H12" s="45">
        <f t="shared" si="5"/>
        <v>0.6875</v>
      </c>
    </row>
    <row r="13" spans="1:8" x14ac:dyDescent="0.25">
      <c r="A13" s="10">
        <v>12</v>
      </c>
      <c r="B13" s="11">
        <v>0.55000000000000004</v>
      </c>
      <c r="C13" s="20">
        <f t="shared" si="0"/>
        <v>0.20047499999999996</v>
      </c>
      <c r="D13" s="4">
        <f t="shared" si="1"/>
        <v>0.36753750000000002</v>
      </c>
      <c r="E13" s="4">
        <f t="shared" si="2"/>
        <v>0.29947500000000005</v>
      </c>
      <c r="F13" s="21">
        <f t="shared" si="3"/>
        <v>9.1506250000000025E-2</v>
      </c>
      <c r="G13" s="39">
        <f t="shared" si="4"/>
        <v>0.95899374999999998</v>
      </c>
      <c r="H13" s="45">
        <f t="shared" si="5"/>
        <v>0.75851875000000002</v>
      </c>
    </row>
    <row r="14" spans="1:8" x14ac:dyDescent="0.25">
      <c r="A14" s="10">
        <v>13</v>
      </c>
      <c r="B14" s="11">
        <v>0.6</v>
      </c>
      <c r="C14" s="20">
        <f t="shared" si="0"/>
        <v>0.15360000000000004</v>
      </c>
      <c r="D14" s="4">
        <f t="shared" si="1"/>
        <v>0.34560000000000007</v>
      </c>
      <c r="E14" s="4">
        <f t="shared" si="2"/>
        <v>0.34560000000000002</v>
      </c>
      <c r="F14" s="21">
        <f t="shared" si="3"/>
        <v>0.12959999999999999</v>
      </c>
      <c r="G14" s="39">
        <f t="shared" si="4"/>
        <v>0.97439999999999993</v>
      </c>
      <c r="H14" s="45">
        <f t="shared" si="5"/>
        <v>0.82079999999999997</v>
      </c>
    </row>
    <row r="15" spans="1:8" x14ac:dyDescent="0.25">
      <c r="A15" s="10">
        <v>14</v>
      </c>
      <c r="B15" s="11">
        <v>0.65</v>
      </c>
      <c r="C15" s="20">
        <f t="shared" si="0"/>
        <v>0.11147499999999998</v>
      </c>
      <c r="D15" s="4">
        <f t="shared" si="1"/>
        <v>0.31053749999999997</v>
      </c>
      <c r="E15" s="4">
        <f t="shared" si="2"/>
        <v>0.38447500000000007</v>
      </c>
      <c r="F15" s="21">
        <f t="shared" si="3"/>
        <v>0.17850625000000003</v>
      </c>
      <c r="G15" s="39">
        <f t="shared" si="4"/>
        <v>0.98499375</v>
      </c>
      <c r="H15" s="45">
        <f t="shared" si="5"/>
        <v>0.87351875000000012</v>
      </c>
    </row>
    <row r="16" spans="1:8" x14ac:dyDescent="0.25">
      <c r="A16" s="10">
        <v>15</v>
      </c>
      <c r="B16" s="11">
        <v>0.7</v>
      </c>
      <c r="C16" s="20">
        <f t="shared" si="0"/>
        <v>7.5600000000000028E-2</v>
      </c>
      <c r="D16" s="4">
        <f t="shared" si="1"/>
        <v>0.2646</v>
      </c>
      <c r="E16" s="4">
        <f t="shared" si="2"/>
        <v>0.41159999999999997</v>
      </c>
      <c r="F16" s="21">
        <f t="shared" si="3"/>
        <v>0.24009999999999992</v>
      </c>
      <c r="G16" s="39">
        <f t="shared" si="4"/>
        <v>0.9919</v>
      </c>
      <c r="H16" s="45">
        <f t="shared" si="5"/>
        <v>0.91629999999999989</v>
      </c>
    </row>
    <row r="17" spans="1:8" x14ac:dyDescent="0.25">
      <c r="A17" s="12">
        <v>16</v>
      </c>
      <c r="B17" s="13">
        <v>0.75</v>
      </c>
      <c r="C17" s="22">
        <f t="shared" si="0"/>
        <v>4.6875E-2</v>
      </c>
      <c r="D17" s="5">
        <f t="shared" si="1"/>
        <v>0.2109375</v>
      </c>
      <c r="E17" s="5">
        <f t="shared" si="2"/>
        <v>0.421875</v>
      </c>
      <c r="F17" s="23">
        <f t="shared" si="3"/>
        <v>0.31640625</v>
      </c>
      <c r="G17" s="40">
        <f t="shared" si="4"/>
        <v>0.99609375</v>
      </c>
      <c r="H17" s="46">
        <f t="shared" si="5"/>
        <v>0.94921875</v>
      </c>
    </row>
    <row r="18" spans="1:8" x14ac:dyDescent="0.25">
      <c r="A18" s="12">
        <v>17</v>
      </c>
      <c r="B18" s="13">
        <v>0.8</v>
      </c>
      <c r="C18" s="22">
        <f t="shared" si="0"/>
        <v>2.5599999999999984E-2</v>
      </c>
      <c r="D18" s="5">
        <f t="shared" si="1"/>
        <v>0.15359999999999996</v>
      </c>
      <c r="E18" s="5">
        <f t="shared" si="2"/>
        <v>0.40960000000000002</v>
      </c>
      <c r="F18" s="23">
        <f t="shared" si="3"/>
        <v>0.40960000000000019</v>
      </c>
      <c r="G18" s="40">
        <f t="shared" si="4"/>
        <v>0.99839999999999995</v>
      </c>
      <c r="H18" s="46">
        <f t="shared" si="5"/>
        <v>0.97280000000000011</v>
      </c>
    </row>
    <row r="19" spans="1:8" x14ac:dyDescent="0.25">
      <c r="A19" s="12">
        <v>18</v>
      </c>
      <c r="B19" s="13">
        <v>0.85</v>
      </c>
      <c r="C19" s="22">
        <f t="shared" si="0"/>
        <v>1.1475000000000004E-2</v>
      </c>
      <c r="D19" s="5">
        <f t="shared" si="1"/>
        <v>9.7537499999999999E-2</v>
      </c>
      <c r="E19" s="5">
        <f t="shared" si="2"/>
        <v>0.368475</v>
      </c>
      <c r="F19" s="23">
        <f t="shared" si="3"/>
        <v>0.52200624999999989</v>
      </c>
      <c r="G19" s="40">
        <f t="shared" si="4"/>
        <v>0.99949374999999996</v>
      </c>
      <c r="H19" s="46">
        <f t="shared" si="5"/>
        <v>0.98801874999999995</v>
      </c>
    </row>
    <row r="20" spans="1:8" x14ac:dyDescent="0.25">
      <c r="A20" s="12">
        <v>19</v>
      </c>
      <c r="B20" s="13">
        <v>0.9</v>
      </c>
      <c r="C20" s="22">
        <f t="shared" si="0"/>
        <v>3.5999999999999977E-3</v>
      </c>
      <c r="D20" s="5">
        <f t="shared" si="1"/>
        <v>4.8599999999999977E-2</v>
      </c>
      <c r="E20" s="5">
        <f t="shared" si="2"/>
        <v>0.29159999999999997</v>
      </c>
      <c r="F20" s="23">
        <f t="shared" si="3"/>
        <v>0.65610000000000013</v>
      </c>
      <c r="G20" s="40">
        <f t="shared" si="4"/>
        <v>0.99990000000000001</v>
      </c>
      <c r="H20" s="46">
        <f t="shared" si="5"/>
        <v>0.99630000000000007</v>
      </c>
    </row>
    <row r="21" spans="1:8" ht="15.75" thickBot="1" x14ac:dyDescent="0.3">
      <c r="A21" s="14">
        <v>20</v>
      </c>
      <c r="B21" s="15">
        <v>0.95</v>
      </c>
      <c r="C21" s="24">
        <f t="shared" si="0"/>
        <v>4.7500000000000125E-4</v>
      </c>
      <c r="D21" s="25">
        <f t="shared" si="1"/>
        <v>1.3537500000000023E-2</v>
      </c>
      <c r="E21" s="25">
        <f t="shared" si="2"/>
        <v>0.17147500000000013</v>
      </c>
      <c r="F21" s="26">
        <f t="shared" si="3"/>
        <v>0.81450624999999999</v>
      </c>
      <c r="G21" s="41">
        <f t="shared" si="4"/>
        <v>0.99999375000000001</v>
      </c>
      <c r="H21" s="47">
        <f t="shared" si="5"/>
        <v>0.99951875000000012</v>
      </c>
    </row>
    <row r="23" spans="1:8" x14ac:dyDescent="0.25">
      <c r="A23" s="1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168AC-84C8-4F1F-BE11-CA59FECC26B4}">
  <dimension ref="A1:H21"/>
  <sheetViews>
    <sheetView workbookViewId="0">
      <selection activeCell="A2" sqref="A2"/>
    </sheetView>
  </sheetViews>
  <sheetFormatPr defaultRowHeight="15" x14ac:dyDescent="0.25"/>
  <sheetData>
    <row r="1" spans="1:8" ht="15.75" thickBot="1" x14ac:dyDescent="0.3">
      <c r="A1" s="32" t="s">
        <v>9</v>
      </c>
      <c r="B1" s="33" t="s">
        <v>6</v>
      </c>
      <c r="C1" s="32" t="s">
        <v>1</v>
      </c>
      <c r="D1" s="34" t="s">
        <v>2</v>
      </c>
      <c r="E1" s="34" t="s">
        <v>3</v>
      </c>
      <c r="F1" s="33" t="s">
        <v>4</v>
      </c>
      <c r="G1" s="35" t="s">
        <v>7</v>
      </c>
      <c r="H1" s="35" t="s">
        <v>5</v>
      </c>
    </row>
    <row r="2" spans="1:8" x14ac:dyDescent="0.25">
      <c r="A2" s="27">
        <v>4</v>
      </c>
      <c r="B2" s="28">
        <v>0</v>
      </c>
      <c r="C2" s="29">
        <f>COMBIN(4,1)*B2^1*(1-B2)^3</f>
        <v>0</v>
      </c>
      <c r="D2" s="30">
        <f>COMBIN(4,2)*B2^2*(1-B2)^2</f>
        <v>0</v>
      </c>
      <c r="E2" s="30">
        <f>COMBIN(4,3)*B2^3*(1-B2)^1</f>
        <v>0</v>
      </c>
      <c r="F2" s="31">
        <f>COMBIN(4,4)*B2^4*(1-B2)^0</f>
        <v>0</v>
      </c>
      <c r="G2" s="36">
        <f>1-(1-B2)^4</f>
        <v>0</v>
      </c>
      <c r="H2" s="42">
        <f>SUM(D2:F2)</f>
        <v>0</v>
      </c>
    </row>
    <row r="3" spans="1:8" x14ac:dyDescent="0.25">
      <c r="A3" s="6">
        <v>5</v>
      </c>
      <c r="B3" s="7">
        <v>0.05</v>
      </c>
      <c r="C3" s="16">
        <f t="shared" ref="C3:C21" si="0">COMBIN(4,1)*B3^1*(1-B3)^3</f>
        <v>0.17147499999999999</v>
      </c>
      <c r="D3" s="2">
        <f t="shared" ref="D3:D21" si="1">COMBIN(4,2)*B3^2*(1-B3)^2</f>
        <v>1.3537500000000003E-2</v>
      </c>
      <c r="E3" s="2">
        <f t="shared" ref="E3:E21" si="2">COMBIN(4,3)*B3^3*(1-B3)^1</f>
        <v>4.7500000000000011E-4</v>
      </c>
      <c r="F3" s="17">
        <f t="shared" ref="F3:F21" si="3">COMBIN(4,4)*B3^4*(1-B3)^0</f>
        <v>6.2500000000000028E-6</v>
      </c>
      <c r="G3" s="37">
        <f t="shared" ref="G3:G21" si="4">1-(1-B3)^4</f>
        <v>0.18549375000000001</v>
      </c>
      <c r="H3" s="43">
        <f t="shared" ref="H3:H21" si="5">SUM(D3:F3)</f>
        <v>1.4018750000000002E-2</v>
      </c>
    </row>
    <row r="4" spans="1:8" x14ac:dyDescent="0.25">
      <c r="A4" s="6">
        <v>6</v>
      </c>
      <c r="B4" s="7">
        <v>0.1</v>
      </c>
      <c r="C4" s="16">
        <f t="shared" si="0"/>
        <v>0.29160000000000003</v>
      </c>
      <c r="D4" s="2">
        <f t="shared" si="1"/>
        <v>4.8600000000000011E-2</v>
      </c>
      <c r="E4" s="2">
        <f t="shared" si="2"/>
        <v>3.6000000000000008E-3</v>
      </c>
      <c r="F4" s="17">
        <f t="shared" si="3"/>
        <v>1.0000000000000005E-4</v>
      </c>
      <c r="G4" s="37">
        <f t="shared" si="4"/>
        <v>0.34389999999999987</v>
      </c>
      <c r="H4" s="43">
        <f t="shared" si="5"/>
        <v>5.2300000000000013E-2</v>
      </c>
    </row>
    <row r="5" spans="1:8" ht="15.75" thickBot="1" x14ac:dyDescent="0.3">
      <c r="A5" s="48">
        <v>7</v>
      </c>
      <c r="B5" s="49">
        <v>0.15</v>
      </c>
      <c r="C5" s="50">
        <f t="shared" si="0"/>
        <v>0.36847499999999994</v>
      </c>
      <c r="D5" s="51">
        <f t="shared" si="1"/>
        <v>9.7537499999999999E-2</v>
      </c>
      <c r="E5" s="51">
        <f t="shared" si="2"/>
        <v>1.1474999999999999E-2</v>
      </c>
      <c r="F5" s="52">
        <f t="shared" si="3"/>
        <v>5.0624999999999997E-4</v>
      </c>
      <c r="G5" s="53">
        <f t="shared" si="4"/>
        <v>0.47799375000000011</v>
      </c>
      <c r="H5" s="54">
        <f t="shared" si="5"/>
        <v>0.10951875</v>
      </c>
    </row>
    <row r="6" spans="1:8" x14ac:dyDescent="0.25">
      <c r="A6" s="62">
        <v>8</v>
      </c>
      <c r="B6" s="63">
        <v>0.2</v>
      </c>
      <c r="C6" s="64">
        <f t="shared" si="0"/>
        <v>0.40960000000000013</v>
      </c>
      <c r="D6" s="65">
        <f t="shared" si="1"/>
        <v>0.15360000000000007</v>
      </c>
      <c r="E6" s="65">
        <f t="shared" si="2"/>
        <v>2.5600000000000008E-2</v>
      </c>
      <c r="F6" s="66">
        <f t="shared" si="3"/>
        <v>1.6000000000000007E-3</v>
      </c>
      <c r="G6" s="67">
        <f t="shared" si="4"/>
        <v>0.59039999999999981</v>
      </c>
      <c r="H6" s="68">
        <f t="shared" si="5"/>
        <v>0.18080000000000007</v>
      </c>
    </row>
    <row r="7" spans="1:8" x14ac:dyDescent="0.25">
      <c r="A7" s="8">
        <v>9</v>
      </c>
      <c r="B7" s="9">
        <v>0.25</v>
      </c>
      <c r="C7" s="18">
        <f t="shared" si="0"/>
        <v>0.421875</v>
      </c>
      <c r="D7" s="3">
        <f t="shared" si="1"/>
        <v>0.2109375</v>
      </c>
      <c r="E7" s="3">
        <f t="shared" si="2"/>
        <v>4.6875E-2</v>
      </c>
      <c r="F7" s="19">
        <f t="shared" si="3"/>
        <v>3.90625E-3</v>
      </c>
      <c r="G7" s="38">
        <f t="shared" si="4"/>
        <v>0.68359375</v>
      </c>
      <c r="H7" s="44">
        <f t="shared" si="5"/>
        <v>0.26171875</v>
      </c>
    </row>
    <row r="8" spans="1:8" x14ac:dyDescent="0.25">
      <c r="A8" s="8">
        <v>10</v>
      </c>
      <c r="B8" s="9">
        <v>0.3</v>
      </c>
      <c r="C8" s="18">
        <f t="shared" si="0"/>
        <v>0.41159999999999991</v>
      </c>
      <c r="D8" s="3">
        <f t="shared" si="1"/>
        <v>0.2646</v>
      </c>
      <c r="E8" s="3">
        <f t="shared" si="2"/>
        <v>7.5600000000000001E-2</v>
      </c>
      <c r="F8" s="19">
        <f t="shared" si="3"/>
        <v>8.0999999999999996E-3</v>
      </c>
      <c r="G8" s="38">
        <f t="shared" si="4"/>
        <v>0.75990000000000002</v>
      </c>
      <c r="H8" s="44">
        <f t="shared" si="5"/>
        <v>0.3483</v>
      </c>
    </row>
    <row r="9" spans="1:8" x14ac:dyDescent="0.25">
      <c r="A9" s="8">
        <v>11</v>
      </c>
      <c r="B9" s="9">
        <v>0.35</v>
      </c>
      <c r="C9" s="18">
        <f t="shared" si="0"/>
        <v>0.38447500000000007</v>
      </c>
      <c r="D9" s="3">
        <f t="shared" si="1"/>
        <v>0.31053749999999997</v>
      </c>
      <c r="E9" s="3">
        <f t="shared" si="2"/>
        <v>0.11147499999999998</v>
      </c>
      <c r="F9" s="19">
        <f t="shared" si="3"/>
        <v>1.5006249999999995E-2</v>
      </c>
      <c r="G9" s="38">
        <f t="shared" si="4"/>
        <v>0.82149374999999991</v>
      </c>
      <c r="H9" s="44">
        <f t="shared" si="5"/>
        <v>0.43701874999999996</v>
      </c>
    </row>
    <row r="10" spans="1:8" ht="15.75" thickBot="1" x14ac:dyDescent="0.3">
      <c r="A10" s="69">
        <v>12</v>
      </c>
      <c r="B10" s="70">
        <v>0.4</v>
      </c>
      <c r="C10" s="71">
        <f t="shared" si="0"/>
        <v>0.34560000000000002</v>
      </c>
      <c r="D10" s="72">
        <f t="shared" si="1"/>
        <v>0.34560000000000007</v>
      </c>
      <c r="E10" s="72">
        <f t="shared" si="2"/>
        <v>0.15360000000000004</v>
      </c>
      <c r="F10" s="73">
        <f t="shared" si="3"/>
        <v>2.5600000000000012E-2</v>
      </c>
      <c r="G10" s="74">
        <f t="shared" si="4"/>
        <v>0.87040000000000006</v>
      </c>
      <c r="H10" s="75">
        <f t="shared" si="5"/>
        <v>0.52480000000000016</v>
      </c>
    </row>
    <row r="11" spans="1:8" x14ac:dyDescent="0.25">
      <c r="A11" s="55">
        <v>13</v>
      </c>
      <c r="B11" s="56">
        <v>0.45</v>
      </c>
      <c r="C11" s="57">
        <f t="shared" si="0"/>
        <v>0.2994750000000001</v>
      </c>
      <c r="D11" s="58">
        <f t="shared" si="1"/>
        <v>0.36753750000000007</v>
      </c>
      <c r="E11" s="58">
        <f t="shared" si="2"/>
        <v>0.20047500000000004</v>
      </c>
      <c r="F11" s="59">
        <f t="shared" si="3"/>
        <v>4.1006250000000008E-2</v>
      </c>
      <c r="G11" s="60">
        <f t="shared" si="4"/>
        <v>0.90849374999999999</v>
      </c>
      <c r="H11" s="61">
        <f t="shared" si="5"/>
        <v>0.60901875000000016</v>
      </c>
    </row>
    <row r="12" spans="1:8" x14ac:dyDescent="0.25">
      <c r="A12" s="10">
        <v>14</v>
      </c>
      <c r="B12" s="11">
        <v>0.5</v>
      </c>
      <c r="C12" s="20">
        <f t="shared" si="0"/>
        <v>0.25</v>
      </c>
      <c r="D12" s="4">
        <f t="shared" si="1"/>
        <v>0.375</v>
      </c>
      <c r="E12" s="4">
        <f t="shared" si="2"/>
        <v>0.25</v>
      </c>
      <c r="F12" s="21">
        <f t="shared" si="3"/>
        <v>6.25E-2</v>
      </c>
      <c r="G12" s="39">
        <f t="shared" si="4"/>
        <v>0.9375</v>
      </c>
      <c r="H12" s="45">
        <f t="shared" si="5"/>
        <v>0.6875</v>
      </c>
    </row>
    <row r="13" spans="1:8" x14ac:dyDescent="0.25">
      <c r="A13" s="10">
        <v>15</v>
      </c>
      <c r="B13" s="11">
        <v>0.55000000000000004</v>
      </c>
      <c r="C13" s="20">
        <f t="shared" si="0"/>
        <v>0.20047499999999996</v>
      </c>
      <c r="D13" s="4">
        <f t="shared" si="1"/>
        <v>0.36753750000000002</v>
      </c>
      <c r="E13" s="4">
        <f t="shared" si="2"/>
        <v>0.29947500000000005</v>
      </c>
      <c r="F13" s="21">
        <f t="shared" si="3"/>
        <v>9.1506250000000025E-2</v>
      </c>
      <c r="G13" s="39">
        <f t="shared" si="4"/>
        <v>0.95899374999999998</v>
      </c>
      <c r="H13" s="45">
        <f t="shared" si="5"/>
        <v>0.75851875000000002</v>
      </c>
    </row>
    <row r="14" spans="1:8" x14ac:dyDescent="0.25">
      <c r="A14" s="10">
        <v>16</v>
      </c>
      <c r="B14" s="11">
        <v>0.6</v>
      </c>
      <c r="C14" s="20">
        <f t="shared" si="0"/>
        <v>0.15360000000000004</v>
      </c>
      <c r="D14" s="4">
        <f t="shared" si="1"/>
        <v>0.34560000000000007</v>
      </c>
      <c r="E14" s="4">
        <f t="shared" si="2"/>
        <v>0.34560000000000002</v>
      </c>
      <c r="F14" s="21">
        <f t="shared" si="3"/>
        <v>0.12959999999999999</v>
      </c>
      <c r="G14" s="39">
        <f t="shared" si="4"/>
        <v>0.97439999999999993</v>
      </c>
      <c r="H14" s="45">
        <f t="shared" si="5"/>
        <v>0.82079999999999997</v>
      </c>
    </row>
    <row r="15" spans="1:8" x14ac:dyDescent="0.25">
      <c r="A15" s="10">
        <v>17</v>
      </c>
      <c r="B15" s="11">
        <v>0.65</v>
      </c>
      <c r="C15" s="20">
        <f t="shared" si="0"/>
        <v>0.11147499999999998</v>
      </c>
      <c r="D15" s="4">
        <f t="shared" si="1"/>
        <v>0.31053749999999997</v>
      </c>
      <c r="E15" s="4">
        <f t="shared" si="2"/>
        <v>0.38447500000000007</v>
      </c>
      <c r="F15" s="21">
        <f t="shared" si="3"/>
        <v>0.17850625000000003</v>
      </c>
      <c r="G15" s="39">
        <f t="shared" si="4"/>
        <v>0.98499375</v>
      </c>
      <c r="H15" s="45">
        <f t="shared" si="5"/>
        <v>0.87351875000000012</v>
      </c>
    </row>
    <row r="16" spans="1:8" x14ac:dyDescent="0.25">
      <c r="A16" s="10">
        <v>18</v>
      </c>
      <c r="B16" s="11">
        <v>0.7</v>
      </c>
      <c r="C16" s="20">
        <f t="shared" si="0"/>
        <v>7.5600000000000028E-2</v>
      </c>
      <c r="D16" s="4">
        <f t="shared" si="1"/>
        <v>0.2646</v>
      </c>
      <c r="E16" s="4">
        <f t="shared" si="2"/>
        <v>0.41159999999999997</v>
      </c>
      <c r="F16" s="21">
        <f t="shared" si="3"/>
        <v>0.24009999999999992</v>
      </c>
      <c r="G16" s="39">
        <f t="shared" si="4"/>
        <v>0.9919</v>
      </c>
      <c r="H16" s="45">
        <f t="shared" si="5"/>
        <v>0.91629999999999989</v>
      </c>
    </row>
    <row r="17" spans="1:8" x14ac:dyDescent="0.25">
      <c r="A17" s="12">
        <v>19</v>
      </c>
      <c r="B17" s="13">
        <v>0.75</v>
      </c>
      <c r="C17" s="22">
        <f t="shared" si="0"/>
        <v>4.6875E-2</v>
      </c>
      <c r="D17" s="5">
        <f t="shared" si="1"/>
        <v>0.2109375</v>
      </c>
      <c r="E17" s="5">
        <f t="shared" si="2"/>
        <v>0.421875</v>
      </c>
      <c r="F17" s="23">
        <f t="shared" si="3"/>
        <v>0.31640625</v>
      </c>
      <c r="G17" s="40">
        <f t="shared" si="4"/>
        <v>0.99609375</v>
      </c>
      <c r="H17" s="46">
        <f t="shared" si="5"/>
        <v>0.94921875</v>
      </c>
    </row>
    <row r="18" spans="1:8" x14ac:dyDescent="0.25">
      <c r="A18" s="12">
        <v>20</v>
      </c>
      <c r="B18" s="13">
        <v>0.8</v>
      </c>
      <c r="C18" s="22">
        <f t="shared" si="0"/>
        <v>2.5599999999999984E-2</v>
      </c>
      <c r="D18" s="5">
        <f t="shared" si="1"/>
        <v>0.15359999999999996</v>
      </c>
      <c r="E18" s="5">
        <f t="shared" si="2"/>
        <v>0.40960000000000002</v>
      </c>
      <c r="F18" s="23">
        <f t="shared" si="3"/>
        <v>0.40960000000000019</v>
      </c>
      <c r="G18" s="40">
        <f t="shared" si="4"/>
        <v>0.99839999999999995</v>
      </c>
      <c r="H18" s="46">
        <f t="shared" si="5"/>
        <v>0.97280000000000011</v>
      </c>
    </row>
    <row r="19" spans="1:8" x14ac:dyDescent="0.25">
      <c r="A19" s="12">
        <v>21</v>
      </c>
      <c r="B19" s="13">
        <v>0.85</v>
      </c>
      <c r="C19" s="22">
        <f t="shared" si="0"/>
        <v>1.1475000000000004E-2</v>
      </c>
      <c r="D19" s="5">
        <f t="shared" si="1"/>
        <v>9.7537499999999999E-2</v>
      </c>
      <c r="E19" s="5">
        <f t="shared" si="2"/>
        <v>0.368475</v>
      </c>
      <c r="F19" s="23">
        <f t="shared" si="3"/>
        <v>0.52200624999999989</v>
      </c>
      <c r="G19" s="40">
        <f t="shared" si="4"/>
        <v>0.99949374999999996</v>
      </c>
      <c r="H19" s="46">
        <f t="shared" si="5"/>
        <v>0.98801874999999995</v>
      </c>
    </row>
    <row r="20" spans="1:8" x14ac:dyDescent="0.25">
      <c r="A20" s="12">
        <v>22</v>
      </c>
      <c r="B20" s="13">
        <v>0.9</v>
      </c>
      <c r="C20" s="22">
        <f t="shared" si="0"/>
        <v>3.5999999999999977E-3</v>
      </c>
      <c r="D20" s="5">
        <f t="shared" si="1"/>
        <v>4.8599999999999977E-2</v>
      </c>
      <c r="E20" s="5">
        <f t="shared" si="2"/>
        <v>0.29159999999999997</v>
      </c>
      <c r="F20" s="23">
        <f t="shared" si="3"/>
        <v>0.65610000000000013</v>
      </c>
      <c r="G20" s="40">
        <f t="shared" si="4"/>
        <v>0.99990000000000001</v>
      </c>
      <c r="H20" s="46">
        <f t="shared" si="5"/>
        <v>0.99630000000000007</v>
      </c>
    </row>
    <row r="21" spans="1:8" ht="15.75" thickBot="1" x14ac:dyDescent="0.3">
      <c r="A21" s="14">
        <v>23</v>
      </c>
      <c r="B21" s="15">
        <v>0.95</v>
      </c>
      <c r="C21" s="24">
        <f t="shared" si="0"/>
        <v>4.7500000000000125E-4</v>
      </c>
      <c r="D21" s="25">
        <f t="shared" si="1"/>
        <v>1.3537500000000023E-2</v>
      </c>
      <c r="E21" s="25">
        <f t="shared" si="2"/>
        <v>0.17147500000000013</v>
      </c>
      <c r="F21" s="26">
        <f t="shared" si="3"/>
        <v>0.81450624999999999</v>
      </c>
      <c r="G21" s="41">
        <f t="shared" si="4"/>
        <v>0.99999375000000001</v>
      </c>
      <c r="H21" s="47">
        <f t="shared" si="5"/>
        <v>0.99951875000000012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Probability of Failure</vt:lpstr>
      <vt:lpstr>Party lvl 1-4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L. Denaro</dc:creator>
  <cp:lastModifiedBy>Todd L. Denaro</cp:lastModifiedBy>
  <dcterms:created xsi:type="dcterms:W3CDTF">2025-12-20T21:32:03Z</dcterms:created>
  <dcterms:modified xsi:type="dcterms:W3CDTF">2025-12-20T23:06:03Z</dcterms:modified>
</cp:coreProperties>
</file>